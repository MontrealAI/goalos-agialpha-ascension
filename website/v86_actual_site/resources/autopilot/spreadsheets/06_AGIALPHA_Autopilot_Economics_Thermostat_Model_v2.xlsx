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a37c1fb7b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70fe344f41243b4"/>
    <x:sheet xmlns:r="http://schemas.openxmlformats.org/officeDocument/2006/relationships" name="Policy" sheetId="2" r:id="Rd7fa51d32ae444fc"/>
    <x:sheet xmlns:r="http://schemas.openxmlformats.org/officeDocument/2006/relationships" name="Mission Planner" sheetId="3" r:id="Rf7ad56e4b32c4f1b"/>
    <x:sheet xmlns:r="http://schemas.openxmlformats.org/officeDocument/2006/relationships" name="Thermostat" sheetId="4" r:id="R2f3544518bb24998"/>
    <x:sheet xmlns:r="http://schemas.openxmlformats.org/officeDocument/2006/relationships" name="Economics" sheetId="5" r:id="R4df4c2e21b2a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%"/>
    <x:numFmt numFmtId="202" formatCode="#,##0"/>
    <x:numFmt numFmtId="203" formatCode="0.00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E0E7FF"/>
      </x:patternFill>
    </x:fill>
    <x:fill>
      <x:patternFill patternType="solid">
        <x:fgColor rgb="F8FAFC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065F46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a2fa1d16e54474" /><Relationship Type="http://schemas.openxmlformats.org/officeDocument/2006/relationships/theme" Target="/xl/theme/theme1.xml" Id="R873aa1356296410f" /><Relationship Type="http://schemas.openxmlformats.org/officeDocument/2006/relationships/sharedStrings" Target="/xl/sharedStrings.xml" Id="R639bb8f9f5f94569" /><Relationship Type="http://schemas.openxmlformats.org/officeDocument/2006/relationships/worksheet" Target="/xl/worksheets/sheet1.xml" Id="Rd70fe344f41243b4" /><Relationship Type="http://schemas.openxmlformats.org/officeDocument/2006/relationships/worksheet" Target="/xl/worksheets/sheet2.xml" Id="Rd7fa51d32ae444fc" /><Relationship Type="http://schemas.openxmlformats.org/officeDocument/2006/relationships/worksheet" Target="/xl/worksheets/sheet3.xml" Id="Rf7ad56e4b32c4f1b" /><Relationship Type="http://schemas.openxmlformats.org/officeDocument/2006/relationships/worksheet" Target="/xl/worksheets/sheet4.xml" Id="R2f3544518bb24998" /><Relationship Type="http://schemas.openxmlformats.org/officeDocument/2006/relationships/worksheet" Target="/xl/worksheets/sheet5.xml" Id="R4df4c2e21b2a4f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278ca715c440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AGIALPHA Autopilot Monthly Economics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Missions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'Economics'!$B$2:$B$13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Avg Budget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'Economics'!$C$2:$C$13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Ready %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'Economics'!$D$2:$D$13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Settlement Volume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'Economics'!$E$2:$E$13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Treasury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'Economics'!$F$2:$F$13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Reviewer Payout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'Economics'!$G$2:$G$13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alpha-WU</c:v>
          </c:tx>
          <c:cat>
            <c:strRef>
              <c:f>'Economics'!$A$2:$A$13</c:f>
              <c:strCache>
                <c:ptCount val="0"/>
              </c:strCache>
            </c:strRef>
          </c:cat>
          <c:val>
            <c:numRef>
              <c:f>'Economics'!$H$2:$H$13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278ca715c440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TierPolicy" displayName="RiskTierPolicy" ref="A1:G4" headerRowCount="1">
  <x:tableColumns count="7">
    <x:tableColumn id="1" name="Risk Tier"/>
    <x:tableColumn id="2" name="Max Budget"/>
    <x:tableColumn id="3" name="Reviewers"/>
    <x:tableColumn id="4" name="Challenge Hours"/>
    <x:tableColumn id="5" name="Human Approval"/>
    <x:tableColumn id="6" name="Settlement Cap Mode"/>
    <x:tableColumn id="7" name="Recommended Use"/>
  </x:tableColumns>
  <x:tableStyleInfo name="TableStyleMedium2" showRowStripes="1"/>
</x:table>
</file>

<file path=xl/tables/table2.xml><?xml version="1.0" encoding="utf-8"?>
<x:table xmlns:x="http://schemas.openxmlformats.org/spreadsheetml/2006/main" id="2" name="SettlementSplit" displayName="SettlementSplit" ref="A6:B10" headerRowCount="1">
  <x:tableColumns count="2">
    <x:tableColumn id="1" name="Split"/>
    <x:tableColumn id="2" name="Share"/>
  </x:tableColumns>
  <x:tableStyleInfo name="TableStyleMedium2" showRowStripes="1"/>
</x:table>
</file>

<file path=xl/tables/table3.xml><?xml version="1.0" encoding="utf-8"?>
<x:table xmlns:x="http://schemas.openxmlformats.org/spreadsheetml/2006/main" id="3" name="MissionPlanner" displayName="MissionPlanner" ref="A1:K6" headerRowCount="1">
  <x:tableColumns count="11">
    <x:tableColumn id="1" name="Mission"/>
    <x:tableColumn id="2" name="Risk Tier"/>
    <x:tableColumn id="3" name="Missions / Mo"/>
    <x:tableColumn id="4" name="Budget / Mission"/>
    <x:tableColumn id="5" name="Ready %"/>
    <x:tableColumn id="6" name="alpha-WU / Mission"/>
    <x:tableColumn id="7" name="Settlement Volume"/>
    <x:tableColumn id="8" name="Validated alpha-WU"/>
    <x:tableColumn id="9" name="Treasury"/>
    <x:tableColumn id="10" name="Reviewer Payout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hermostatSignals" displayName="ThermostatSignals" ref="A1:E8" headerRowCount="1">
  <x:tableColumns count="5">
    <x:tableColumn id="1" name="Signal"/>
    <x:tableColumn id="2" name="Current Value"/>
    <x:tableColumn id="3" name="Threshold"/>
    <x:tableColumn id="4" name="Status"/>
    <x:tableColumn id="5" name="Recommended Actuator"/>
  </x:tableColumns>
  <x:tableStyleInfo name="TableStyleMedium2" showRowStripes="1"/>
</x:table>
</file>

<file path=xl/tables/table5.xml><?xml version="1.0" encoding="utf-8"?>
<x:table xmlns:x="http://schemas.openxmlformats.org/spreadsheetml/2006/main" id="5" name="MonthlyEconomics" displayName="MonthlyEconomics" ref="A1:H13" headerRowCount="1">
  <x:tableColumns count="8">
    <x:tableColumn id="1" name="Month"/>
    <x:tableColumn id="2" name="Missions"/>
    <x:tableColumn id="3" name="Avg Budget"/>
    <x:tableColumn id="4" name="Ready %"/>
    <x:tableColumn id="5" name="Settlement Volume"/>
    <x:tableColumn id="6" name="Treasury"/>
    <x:tableColumn id="7" name="Reviewer Payout"/>
    <x:tableColumn id="8" name="alpha-W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651536951241da" /><Relationship Type="http://schemas.openxmlformats.org/officeDocument/2006/relationships/table" Target="/xl/tables/table2.xml" Id="R057536a41d9347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f47bfe52ad4d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c4646aba27f4a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5a60f2c3cb6496f" /><Relationship Type="http://schemas.openxmlformats.org/officeDocument/2006/relationships/table" Target="/xl/tables/table5.xml" Id="R6c079c5428c34acc" /></Relationships>
</file>

<file path=xl/worksheets/sheet1.xml><?xml version="1.0" encoding="utf-8"?>
<x:worksheet xmlns:x="http://schemas.openxmlformats.org/spreadsheetml/2006/main">
  <x:sheetFormatPr defaultRowHeight="15"/>
  <x:cols>
    <x:col min="1" max="1" width="86.94000244140625" hidden="0" customWidth="1"/>
    <x:col min="2" max="2" width="3.7699999809265137" hidden="0" customWidth="1"/>
    <x:col min="4" max="4" width="23.149999618530273" hidden="0" customWidth="1"/>
    <x:col min="5" max="5" width="7.940000057220459" hidden="0" customWidth="1"/>
  </x:cols>
  <x:sheetData>
    <x:row r="1" ht="28" customHeight="1">
      <x:c r="A1" s="5" t="str">
        <x:v>$AGIALPHA Autopilot Economics &amp; Thermostat Model v2</x:v>
      </x:c>
    </x:row>
    <x:row r="3">
      <x:c r="A3" s="11" t="str">
        <x:v>Scenario</x:v>
      </x:c>
      <x:c r="B3" s="14" t="str">
        <x:v>Base</x:v>
      </x:c>
      <x:c r="D3" s="17" t="str">
        <x:v>Monthly Settlement Volume</x:v>
      </x:c>
      <x:c r="E3" s="20" t="n">
        <x:f>B4*B5</x:f>
        <x:v>32500</x:v>
      </x:c>
    </x:row>
    <x:row r="4">
      <x:c r="A4" s="11" t="str">
        <x:v>Avg Missions / Month</x:v>
      </x:c>
      <x:c r="B4" s="14" t="n">
        <x:v>50</x:v>
      </x:c>
      <x:c r="D4" s="17" t="str">
        <x:v>Monthly Validated Missions</x:v>
      </x:c>
      <x:c r="E4" s="20" t="n">
        <x:f>B4*B7</x:f>
        <x:v>31</x:v>
      </x:c>
    </x:row>
    <x:row r="5">
      <x:c r="A5" s="11" t="str">
        <x:v>Avg Budget / Mission</x:v>
      </x:c>
      <x:c r="B5" s="14" t="n">
        <x:v>650</x:v>
      </x:c>
      <x:c r="D5" s="17" t="str">
        <x:v>Monthly alpha-WU</x:v>
      </x:c>
      <x:c r="E5" s="20" t="n">
        <x:f>B4*B6*B7</x:f>
        <x:v>2325</x:v>
      </x:c>
    </x:row>
    <x:row r="6">
      <x:c r="A6" s="11" t="str">
        <x:v>Validated alpha-WU / Mission</x:v>
      </x:c>
      <x:c r="B6" s="14" t="n">
        <x:v>75</x:v>
      </x:c>
      <x:c r="D6" s="17" t="str">
        <x:v>Monthly Treasury Routing</x:v>
      </x:c>
      <x:c r="E6" s="20" t="n">
        <x:f>E3*B8</x:f>
        <x:v>3250</x:v>
      </x:c>
    </x:row>
    <x:row r="7">
      <x:c r="A7" s="11" t="str">
        <x:v>Settlement Ready %</x:v>
      </x:c>
      <x:c r="B7" s="22" t="n">
        <x:v>0.62</x:v>
      </x:c>
      <x:c r="D7" s="17" t="str">
        <x:v>Monthly Reviewer Payout</x:v>
      </x:c>
      <x:c r="E7" s="20" t="n">
        <x:f>E3*B9</x:f>
        <x:v>4875</x:v>
      </x:c>
    </x:row>
    <x:row r="8">
      <x:c r="A8" s="11" t="str">
        <x:v>Treasury Share</x:v>
      </x:c>
      <x:c r="B8" s="22" t="n">
        <x:v>0.1</x:v>
      </x:c>
      <x:c r="D8" s="17" t="str">
        <x:v>Monthly Reserve/Burn</x:v>
      </x:c>
      <x:c r="E8" s="20" t="n">
        <x:f>E3*B10</x:f>
        <x:v>1625</x:v>
      </x:c>
    </x:row>
    <x:row r="9">
      <x:c r="A9" s="11" t="str">
        <x:v>Reviewer Share</x:v>
      </x:c>
      <x:c r="B9" s="22" t="n">
        <x:v>0.15</x:v>
      </x:c>
      <x:c r="D9" s="17" t="str">
        <x:v>alpha-WU / AGIALPHA</x:v>
      </x:c>
      <x:c r="E9" s="20" t="n">
        <x:f>E5/E3</x:f>
        <x:v>0.07153846153846154</x:v>
      </x:c>
    </x:row>
    <x:row r="10">
      <x:c r="A10" s="11" t="str">
        <x:v>Reserve Share</x:v>
      </x:c>
      <x:c r="B10" s="22" t="n">
        <x:v>0.05</x:v>
      </x:c>
    </x:row>
    <x:row r="12">
      <x:c r="A12" s="26" t="str">
        <x:v>Autopilot Doctrine: No ProofBundle -&gt; no settlement. No eval -&gt; no propagation. No rollback -&gt; no release.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520000457763672" hidden="0" customWidth="1"/>
    <x:col min="3" max="3" width="11.039999961853027" hidden="0" customWidth="1"/>
    <x:col min="4" max="4" width="15.880000114440918" hidden="0" customWidth="1"/>
    <x:col min="5" max="5" width="16.420000076293945" hidden="0" customWidth="1"/>
    <x:col min="6" max="6" width="20.459999084472656" hidden="0" customWidth="1"/>
    <x:col min="7" max="7" width="39.70000076293945" hidden="0" customWidth="1"/>
  </x:cols>
  <x:sheetData>
    <x:row r="1">
      <x:c r="A1" s="30" t="str">
        <x:v>Risk Tier</x:v>
      </x:c>
      <x:c r="B1" s="30" t="str">
        <x:v>Max Budget</x:v>
      </x:c>
      <x:c r="C1" s="30" t="str">
        <x:v>Reviewers</x:v>
      </x:c>
      <x:c r="D1" s="30" t="str">
        <x:v>Challenge Hours</x:v>
      </x:c>
      <x:c r="E1" s="30" t="str">
        <x:v>Human Approval</x:v>
      </x:c>
      <x:c r="F1" s="30" t="str">
        <x:v>Settlement Cap Mode</x:v>
      </x:c>
      <x:c r="G1" s="30" t="str">
        <x:v>Recommended Use</x:v>
      </x:c>
    </x:row>
    <x:row r="2">
      <x:c r="A2" t="str">
        <x:v>Low</x:v>
      </x:c>
      <x:c r="B2" s="32" t="n">
        <x:v>100</x:v>
      </x:c>
      <x:c r="C2" t="n">
        <x:v>1</x:v>
      </x:c>
      <x:c r="D2" t="n">
        <x:v>24</x:v>
      </x:c>
      <x:c r="E2" t="str">
        <x:v>No</x:v>
      </x:c>
      <x:c r="F2" t="str">
        <x:v>Simulation/Sepolia</x:v>
      </x:c>
      <x:c r="G2" t="str">
        <x:v>Templates, low-risk proof rooms</x:v>
      </x:c>
    </x:row>
    <x:row r="3">
      <x:c r="A3" t="str">
        <x:v>Medium</x:v>
      </x:c>
      <x:c r="B3" s="32" t="n">
        <x:v>1000</x:v>
      </x:c>
      <x:c r="C3" t="n">
        <x:v>2</x:v>
      </x:c>
      <x:c r="D3" t="n">
        <x:v>72</x:v>
      </x:c>
      <x:c r="E3" t="str">
        <x:v>Yes</x:v>
      </x:c>
      <x:c r="F3" t="str">
        <x:v>Human-gated</x:v>
      </x:c>
      <x:c r="G3" t="str">
        <x:v>Cyber evidence, revenue proof, public proof cards</x:v>
      </x:c>
    </x:row>
    <x:row r="4">
      <x:c r="A4" t="str">
        <x:v>High</x:v>
      </x:c>
      <x:c r="B4" s="32" t="n">
        <x:v>10000</x:v>
      </x:c>
      <x:c r="C4" t="n">
        <x:v>3</x:v>
      </x:c>
      <x:c r="D4" t="n">
        <x:v>168</x:v>
      </x:c>
      <x:c r="E4" t="str">
        <x:v>Yes + Multisig</x:v>
      </x:c>
      <x:c r="F4" t="str">
        <x:v>Human-gated only</x:v>
      </x:c>
      <x:c r="G4" t="str">
        <x:v>Enterprise/sovereign missions</x:v>
      </x:c>
    </x:row>
    <x:row r="6">
      <x:c r="A6" s="30" t="str">
        <x:v>Split</x:v>
      </x:c>
      <x:c r="B6" s="30" t="str">
        <x:v>Share</x:v>
      </x:c>
    </x:row>
    <x:row r="7">
      <x:c r="A7" t="str">
        <x:v>Builder</x:v>
      </x:c>
      <x:c r="B7" s="34" t="n">
        <x:v>0.7</x:v>
      </x:c>
    </x:row>
    <x:row r="8">
      <x:c r="A8" t="str">
        <x:v>Reviewers</x:v>
      </x:c>
      <x:c r="B8" s="34" t="n">
        <x:v>0.15</x:v>
      </x:c>
    </x:row>
    <x:row r="9">
      <x:c r="A9" t="str">
        <x:v>Treasury</x:v>
      </x:c>
      <x:c r="B9" s="34" t="n">
        <x:v>0.1</x:v>
      </x:c>
    </x:row>
    <x:row r="10">
      <x:c r="A10" t="str">
        <x:v>Reserve</x:v>
      </x:c>
      <x:c r="B10" s="34" t="n">
        <x:v>0.05</x:v>
      </x:c>
    </x:row>
  </x:sheetData>
  <x:pageMargins left="0.7" right="0.7" top="0.75" bottom="0.75" header="0.3" footer="0.3"/>
  <x:tableParts count="2">
    <x:tablePart xmlns:r="http://schemas.openxmlformats.org/officeDocument/2006/relationships" r:id="R75651536951241da"/>
    <x:tablePart xmlns:r="http://schemas.openxmlformats.org/officeDocument/2006/relationships" r:id="R057536a41d9347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9.5600004196167" hidden="0" customWidth="1"/>
    <x:col min="3" max="3" width="14.270000457763672" hidden="0" customWidth="1"/>
    <x:col min="4" max="4" width="16.549999237060547" hidden="0" customWidth="1"/>
    <x:col min="5" max="5" width="9.5600004196167" hidden="0" customWidth="1"/>
    <x:col min="6" max="6" width="18.979999542236328" hidden="0" customWidth="1"/>
    <x:col min="7" max="7" width="18.299999237060547" hidden="0" customWidth="1"/>
    <x:col min="8" max="8" width="18.979999542236328" hidden="0" customWidth="1"/>
    <x:col min="9" max="9" width="9.6899995803833" hidden="0" customWidth="1"/>
    <x:col min="10" max="10" width="16.290000915527344" hidden="0" customWidth="1"/>
    <x:col min="11" max="11" width="11.569999694824219" hidden="0" customWidth="1"/>
  </x:cols>
  <x:sheetData>
    <x:row r="1">
      <x:c r="A1" s="30" t="str">
        <x:v>Mission</x:v>
      </x:c>
      <x:c r="B1" s="30" t="str">
        <x:v>Risk Tier</x:v>
      </x:c>
      <x:c r="C1" s="30" t="str">
        <x:v>Missions / Mo</x:v>
      </x:c>
      <x:c r="D1" s="30" t="str">
        <x:v>Budget / Mission</x:v>
      </x:c>
      <x:c r="E1" s="30" t="str">
        <x:v>Ready %</x:v>
      </x:c>
      <x:c r="F1" s="30" t="str">
        <x:v>alpha-WU / Mission</x:v>
      </x:c>
      <x:c r="G1" s="30" t="str">
        <x:v>Settlement Volume</x:v>
      </x:c>
      <x:c r="H1" s="30" t="str">
        <x:v>Validated alpha-WU</x:v>
      </x:c>
      <x:c r="I1" s="30" t="str">
        <x:v>Treasury</x:v>
      </x:c>
      <x:c r="J1" s="30" t="str">
        <x:v>Reviewer Payout</x:v>
      </x:c>
      <x:c r="K1" s="30" t="str">
        <x:v>Status</x:v>
      </x:c>
    </x:row>
    <x:row r="2">
      <x:c r="A2" t="str">
        <x:v>Proof Card 010-A Cyber Docket</x:v>
      </x:c>
      <x:c r="B2" t="str">
        <x:v>Medium</x:v>
      </x:c>
      <x:c r="C2" t="n">
        <x:v>10</x:v>
      </x:c>
      <x:c r="D2" s="20" t="n">
        <x:v>650</x:v>
      </x:c>
      <x:c r="E2" s="34" t="n">
        <x:v>0.6</x:v>
      </x:c>
      <x:c r="F2" s="20" t="n">
        <x:v>80</x:v>
      </x:c>
      <x:c r="G2" s="20" t="n">
        <x:f>C2*D2</x:f>
        <x:v>6500</x:v>
      </x:c>
      <x:c r="H2" s="20" t="n">
        <x:f>C2*E2*F2</x:f>
        <x:v>480</x:v>
      </x:c>
      <x:c r="I2" s="20" t="n">
        <x:f>G2*0.10</x:f>
        <x:v>650</x:v>
      </x:c>
      <x:c r="J2" s="20" t="n">
        <x:f>G2*0.15</x:f>
        <x:v>975</x:v>
      </x:c>
      <x:c r="K2" t="str">
        <x:v>Simulation</x:v>
      </x:c>
    </x:row>
    <x:row r="3">
      <x:c r="A3" t="str">
        <x:v>Proof Card 012-A Venture Grid</x:v>
      </x:c>
      <x:c r="B3" t="str">
        <x:v>Medium</x:v>
      </x:c>
      <x:c r="C3" t="n">
        <x:v>8</x:v>
      </x:c>
      <x:c r="D3" s="20" t="n">
        <x:v>975</x:v>
      </x:c>
      <x:c r="E3" s="34" t="n">
        <x:v>0.5</x:v>
      </x:c>
      <x:c r="F3" s="20" t="n">
        <x:v>95</x:v>
      </x:c>
      <x:c r="G3" s="20" t="n">
        <x:f>C3*D3</x:f>
        <x:v>7800</x:v>
      </x:c>
      <x:c r="H3" s="20" t="n">
        <x:f>C3*E3*F3</x:f>
        <x:v>380</x:v>
      </x:c>
      <x:c r="I3" s="20" t="n">
        <x:f>G3*0.10</x:f>
        <x:v>780</x:v>
      </x:c>
      <x:c r="J3" s="20" t="n">
        <x:f>G3*0.15</x:f>
        <x:v>1170</x:v>
      </x:c>
      <x:c r="K3" t="str">
        <x:v>Simulation</x:v>
      </x:c>
    </x:row>
    <x:row r="4">
      <x:c r="A4" t="str">
        <x:v>Personal Money Sprint</x:v>
      </x:c>
      <x:c r="B4" t="str">
        <x:v>Low</x:v>
      </x:c>
      <x:c r="C4" t="n">
        <x:v>100</x:v>
      </x:c>
      <x:c r="D4" s="20" t="n">
        <x:v>65</x:v>
      </x:c>
      <x:c r="E4" s="34" t="n">
        <x:v>0.4</x:v>
      </x:c>
      <x:c r="F4" s="20" t="n">
        <x:v>25</x:v>
      </x:c>
      <x:c r="G4" s="20" t="n">
        <x:f>C4*D4</x:f>
        <x:v>6500</x:v>
      </x:c>
      <x:c r="H4" s="20" t="n">
        <x:f>C4*E4*F4</x:f>
        <x:v>1000</x:v>
      </x:c>
      <x:c r="I4" s="20" t="n">
        <x:f>G4*0.10</x:f>
        <x:v>650</x:v>
      </x:c>
      <x:c r="J4" s="20" t="n">
        <x:f>G4*0.15</x:f>
        <x:v>975</x:v>
      </x:c>
      <x:c r="K4" t="str">
        <x:v>Simulation</x:v>
      </x:c>
    </x:row>
    <x:row r="5">
      <x:c r="A5" t="str">
        <x:v>Enterprise Proof Room</x:v>
      </x:c>
      <x:c r="B5" t="str">
        <x:v>Medium</x:v>
      </x:c>
      <x:c r="C5" t="n">
        <x:v>12</x:v>
      </x:c>
      <x:c r="D5" s="20" t="n">
        <x:v>1200</x:v>
      </x:c>
      <x:c r="E5" s="34" t="n">
        <x:v>0.7</x:v>
      </x:c>
      <x:c r="F5" s="20" t="n">
        <x:v>125</x:v>
      </x:c>
      <x:c r="G5" s="20" t="n">
        <x:f>C5*D5</x:f>
        <x:v>14400</x:v>
      </x:c>
      <x:c r="H5" s="20" t="n">
        <x:f>C5*E5*F5</x:f>
        <x:v>1049.9999999999998</x:v>
      </x:c>
      <x:c r="I5" s="20" t="n">
        <x:f>G5*0.10</x:f>
        <x:v>1440</x:v>
      </x:c>
      <x:c r="J5" s="20" t="n">
        <x:f>G5*0.15</x:f>
        <x:v>2160</x:v>
      </x:c>
      <x:c r="K5" t="str">
        <x:v>Human review</x:v>
      </x:c>
    </x:row>
    <x:row r="6">
      <x:c r="A6" t="str">
        <x:v>Sepolia Rehearsal</x:v>
      </x:c>
      <x:c r="B6" t="str">
        <x:v>Low</x:v>
      </x:c>
      <x:c r="C6" t="n">
        <x:v>5</x:v>
      </x:c>
      <x:c r="D6" s="20" t="n">
        <x:v>100</x:v>
      </x:c>
      <x:c r="E6" s="34" t="n">
        <x:v>0.8</x:v>
      </x:c>
      <x:c r="F6" s="20" t="n">
        <x:v>60</x:v>
      </x:c>
      <x:c r="G6" s="20" t="n">
        <x:f>C6*D6</x:f>
        <x:v>500</x:v>
      </x:c>
      <x:c r="H6" s="20" t="n">
        <x:f>C6*E6*F6</x:f>
        <x:v>240</x:v>
      </x:c>
      <x:c r="I6" s="20" t="n">
        <x:f>G6*0.10</x:f>
        <x:v>50</x:v>
      </x:c>
      <x:c r="J6" s="20" t="n">
        <x:f>G6*0.15</x:f>
        <x:v>75</x:v>
      </x:c>
      <x:c r="K6" t="str">
        <x:v>Testnet</x:v>
      </x:c>
    </x:row>
  </x:sheetData>
  <x:dataValidations count="1">
    <x:dataValidation type="list" sqref="K2:K20">
      <x:formula1>"Simulation,Human review,Testnet,Blocked,Ready"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f47bfe52ad4d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13.859999656677246" hidden="0" customWidth="1"/>
    <x:col min="3" max="3" width="10.770000457763672" hidden="0" customWidth="1"/>
    <x:col min="4" max="4" width="7.670000076293945" hidden="0" customWidth="1"/>
    <x:col min="5" max="5" width="39.29999923706055" hidden="0" customWidth="1"/>
  </x:cols>
  <x:sheetData>
    <x:row r="1">
      <x:c r="A1" s="30" t="str">
        <x:v>Signal</x:v>
      </x:c>
      <x:c r="B1" s="30" t="str">
        <x:v>Current Value</x:v>
      </x:c>
      <x:c r="C1" s="30" t="str">
        <x:v>Threshold</x:v>
      </x:c>
      <x:c r="D1" s="30" t="str">
        <x:v>Status</x:v>
      </x:c>
      <x:c r="E1" s="30" t="str">
        <x:v>Recommended Actuator</x:v>
      </x:c>
    </x:row>
    <x:row r="2">
      <x:c r="A2" t="str">
        <x:v>Dispute Rate</x:v>
      </x:c>
      <x:c r="B2" s="36" t="n">
        <x:v>0.08</x:v>
      </x:c>
      <x:c r="C2" s="36" t="n">
        <x:v>0.1</x:v>
      </x:c>
      <x:c r="D2" t="str">
        <x:f>IF(B2&gt;C2,"Act","OK")</x:f>
        <x:v>OK</x:v>
      </x:c>
      <x:c r="E2" t="str">
        <x:v>Increase reviewer quorum and challenge window</x:v>
      </x:c>
    </x:row>
    <x:row r="3">
      <x:c r="A3" t="str">
        <x:v>False Acceptance</x:v>
      </x:c>
      <x:c r="B3" s="36" t="n">
        <x:v>0.02</x:v>
      </x:c>
      <x:c r="C3" s="36" t="n">
        <x:v>0.03</x:v>
      </x:c>
      <x:c r="D3" t="str">
        <x:f>IF(B3&gt;C3,"Act","OK")</x:f>
        <x:v>OK</x:v>
      </x:c>
      <x:c r="E3" t="str">
        <x:v>Raise proof burden; require external review</x:v>
      </x:c>
    </x:row>
    <x:row r="4">
      <x:c r="A4" t="str">
        <x:v>Validator Latency (hrs)</x:v>
      </x:c>
      <x:c r="B4" s="36" t="n">
        <x:v>36</x:v>
      </x:c>
      <x:c r="C4" s="36" t="n">
        <x:v>48</x:v>
      </x:c>
      <x:c r="D4" t="str">
        <x:f>IF(B4&gt;C4,"Act","OK")</x:f>
        <x:v>OK</x:v>
      </x:c>
      <x:c r="E4" t="str">
        <x:v>Increase reviewer payout share</x:v>
      </x:c>
    </x:row>
    <x:row r="5">
      <x:c r="A5" t="str">
        <x:v>Treasury Reserve Stress</x:v>
      </x:c>
      <x:c r="B5" s="36" t="n">
        <x:v>0.25</x:v>
      </x:c>
      <x:c r="C5" s="36" t="n">
        <x:v>0.3</x:v>
      </x:c>
      <x:c r="D5" t="str">
        <x:f>IF(B5&gt;C5,"Act","OK")</x:f>
        <x:v>OK</x:v>
      </x:c>
      <x:c r="E5" t="str">
        <x:v>Pause exploratory missions</x:v>
      </x:c>
    </x:row>
    <x:row r="6">
      <x:c r="A6" t="str">
        <x:v>alpha-WU / AGIALPHA</x:v>
      </x:c>
      <x:c r="B6" s="36" t="n">
        <x:v>0.12</x:v>
      </x:c>
      <x:c r="C6" s="36" t="n">
        <x:v>0.08</x:v>
      </x:c>
      <x:c r="D6" t="str">
        <x:f>IF(B6&lt;C6,"Act","OK")</x:f>
        <x:v>OK</x:v>
      </x:c>
      <x:c r="E6" t="str">
        <x:v>Tighten budget; improve templates</x:v>
      </x:c>
    </x:row>
    <x:row r="7">
      <x:c r="A7" t="str">
        <x:v>Safety Incidents</x:v>
      </x:c>
      <x:c r="B7" s="36" t="n">
        <x:v>0</x:v>
      </x:c>
      <x:c r="C7" s="36" t="n">
        <x:v>0</x:v>
      </x:c>
      <x:c r="D7" t="str">
        <x:f>IF(B7&gt;C7,"Act","OK")</x:f>
        <x:v>OK</x:v>
      </x:c>
      <x:c r="E7" t="str">
        <x:v>Pause high-risk missions</x:v>
      </x:c>
    </x:row>
    <x:row r="8">
      <x:c r="A8" t="str">
        <x:v>Settlement Delay (hrs)</x:v>
      </x:c>
      <x:c r="B8" s="36" t="n">
        <x:v>24</x:v>
      </x:c>
      <x:c r="C8" s="36" t="n">
        <x:v>72</x:v>
      </x:c>
      <x:c r="D8" t="str">
        <x:f>IF(B8&gt;C8,"Act","OK")</x:f>
        <x:v>OK</x:v>
      </x:c>
      <x:c r="E8" t="str">
        <x:v>Streamline reviewer packets</x:v>
      </x:c>
    </x:row>
  </x:sheetData>
  <x:conditionalFormatting sqref="D2:D8">
    <x:cfRule type="expression" dxfId="0" priority="1">
      <x:formula>D2="Act"</x:formula>
    </x:cfRule>
    <x:cfRule type="expression" dxfId="1" priority="2">
      <x:formula>D2="OK"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4646aba27f4a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9.829999923706055" hidden="0" customWidth="1"/>
    <x:col min="3" max="3" width="11.84000015258789" hidden="0" customWidth="1"/>
    <x:col min="4" max="4" width="9.5600004196167" hidden="0" customWidth="1"/>
    <x:col min="5" max="5" width="18.299999237060547" hidden="0" customWidth="1"/>
    <x:col min="6" max="6" width="9.6899995803833" hidden="0" customWidth="1"/>
    <x:col min="7" max="7" width="16.290000915527344" hidden="0" customWidth="1"/>
    <x:col min="8" max="8" width="10.770000457763672" hidden="0" customWidth="1"/>
  </x:cols>
  <x:sheetData>
    <x:row r="1">
      <x:c r="A1" s="30" t="str">
        <x:v>Month</x:v>
      </x:c>
      <x:c r="B1" s="30" t="str">
        <x:v>Missions</x:v>
      </x:c>
      <x:c r="C1" s="30" t="str">
        <x:v>Avg Budget</x:v>
      </x:c>
      <x:c r="D1" s="30" t="str">
        <x:v>Ready %</x:v>
      </x:c>
      <x:c r="E1" s="30" t="str">
        <x:v>Settlement Volume</x:v>
      </x:c>
      <x:c r="F1" s="30" t="str">
        <x:v>Treasury</x:v>
      </x:c>
      <x:c r="G1" s="30" t="str">
        <x:v>Reviewer Payout</x:v>
      </x:c>
      <x:c r="H1" s="30" t="str">
        <x:v>alpha-WU</x:v>
      </x:c>
    </x:row>
    <x:row r="2">
      <x:c r="A2" t="n">
        <x:v>1</x:v>
      </x:c>
      <x:c r="B2" t="n">
        <x:v>20</x:v>
      </x:c>
      <x:c r="C2" s="20" t="n">
        <x:v>650</x:v>
      </x:c>
      <x:c r="D2" s="20" t="n">
        <x:v>0.45</x:v>
      </x:c>
      <x:c r="E2" s="20" t="n">
        <x:f>B2*C2</x:f>
        <x:v>13000</x:v>
      </x:c>
      <x:c r="F2" s="20" t="n">
        <x:f>E2*0.10</x:f>
        <x:v>1300</x:v>
      </x:c>
      <x:c r="G2" s="20" t="n">
        <x:f>E2*0.15</x:f>
        <x:v>1950</x:v>
      </x:c>
      <x:c r="H2" s="20" t="n">
        <x:f>B2*D2*75</x:f>
        <x:v>675</x:v>
      </x:c>
    </x:row>
    <x:row r="3">
      <x:c r="A3" t="n">
        <x:v>2</x:v>
      </x:c>
      <x:c r="B3" t="n">
        <x:v>22</x:v>
      </x:c>
      <x:c r="C3" s="20" t="n">
        <x:v>650</x:v>
      </x:c>
      <x:c r="D3" s="20" t="n">
        <x:v>0.47000000000000003</x:v>
      </x:c>
      <x:c r="E3" s="20" t="n">
        <x:f>B3*C3</x:f>
        <x:v>14300</x:v>
      </x:c>
      <x:c r="F3" s="20" t="n">
        <x:f>E3*0.10</x:f>
        <x:v>1430</x:v>
      </x:c>
      <x:c r="G3" s="20" t="n">
        <x:f>E3*0.15</x:f>
        <x:v>2145</x:v>
      </x:c>
      <x:c r="H3" s="20" t="n">
        <x:f>B3*D3*75</x:f>
        <x:v>775.5</x:v>
      </x:c>
    </x:row>
    <x:row r="4">
      <x:c r="A4" t="n">
        <x:v>3</x:v>
      </x:c>
      <x:c r="B4" t="n">
        <x:v>25</x:v>
      </x:c>
      <x:c r="C4" s="20" t="n">
        <x:v>650</x:v>
      </x:c>
      <x:c r="D4" s="20" t="n">
        <x:v>0.49</x:v>
      </x:c>
      <x:c r="E4" s="20" t="n">
        <x:f>B4*C4</x:f>
        <x:v>16250</x:v>
      </x:c>
      <x:c r="F4" s="20" t="n">
        <x:f>E4*0.10</x:f>
        <x:v>1625</x:v>
      </x:c>
      <x:c r="G4" s="20" t="n">
        <x:f>E4*0.15</x:f>
        <x:v>2437.5</x:v>
      </x:c>
      <x:c r="H4" s="20" t="n">
        <x:f>B4*D4*75</x:f>
        <x:v>918.75</x:v>
      </x:c>
    </x:row>
    <x:row r="5">
      <x:c r="A5" t="n">
        <x:v>4</x:v>
      </x:c>
      <x:c r="B5" t="n">
        <x:v>28</x:v>
      </x:c>
      <x:c r="C5" s="20" t="n">
        <x:v>650</x:v>
      </x:c>
      <x:c r="D5" s="20" t="n">
        <x:v>0.51</x:v>
      </x:c>
      <x:c r="E5" s="20" t="n">
        <x:f>B5*C5</x:f>
        <x:v>18200</x:v>
      </x:c>
      <x:c r="F5" s="20" t="n">
        <x:f>E5*0.10</x:f>
        <x:v>1820</x:v>
      </x:c>
      <x:c r="G5" s="20" t="n">
        <x:f>E5*0.15</x:f>
        <x:v>2730</x:v>
      </x:c>
      <x:c r="H5" s="20" t="n">
        <x:f>B5*D5*75</x:f>
        <x:v>1071</x:v>
      </x:c>
    </x:row>
    <x:row r="6">
      <x:c r="A6" t="n">
        <x:v>5</x:v>
      </x:c>
      <x:c r="B6" t="n">
        <x:v>31</x:v>
      </x:c>
      <x:c r="C6" s="20" t="n">
        <x:v>650</x:v>
      </x:c>
      <x:c r="D6" s="20" t="n">
        <x:v>0.53</x:v>
      </x:c>
      <x:c r="E6" s="20" t="n">
        <x:f>B6*C6</x:f>
        <x:v>20150</x:v>
      </x:c>
      <x:c r="F6" s="20" t="n">
        <x:f>E6*0.10</x:f>
        <x:v>2015</x:v>
      </x:c>
      <x:c r="G6" s="20" t="n">
        <x:f>E6*0.15</x:f>
        <x:v>3022.5</x:v>
      </x:c>
      <x:c r="H6" s="20" t="n">
        <x:f>B6*D6*75</x:f>
        <x:v>1232.25</x:v>
      </x:c>
    </x:row>
    <x:row r="7">
      <x:c r="A7" t="n">
        <x:v>6</x:v>
      </x:c>
      <x:c r="B7" t="n">
        <x:v>35</x:v>
      </x:c>
      <x:c r="C7" s="20" t="n">
        <x:v>650</x:v>
      </x:c>
      <x:c r="D7" s="20" t="n">
        <x:v>0.55</x:v>
      </x:c>
      <x:c r="E7" s="20" t="n">
        <x:f>B7*C7</x:f>
        <x:v>22750</x:v>
      </x:c>
      <x:c r="F7" s="20" t="n">
        <x:f>E7*0.10</x:f>
        <x:v>2275</x:v>
      </x:c>
      <x:c r="G7" s="20" t="n">
        <x:f>E7*0.15</x:f>
        <x:v>3412.5</x:v>
      </x:c>
      <x:c r="H7" s="20" t="n">
        <x:f>B7*D7*75</x:f>
        <x:v>1443.75</x:v>
      </x:c>
    </x:row>
    <x:row r="8">
      <x:c r="A8" t="n">
        <x:v>7</x:v>
      </x:c>
      <x:c r="B8" t="n">
        <x:v>39</x:v>
      </x:c>
      <x:c r="C8" s="20" t="n">
        <x:v>650</x:v>
      </x:c>
      <x:c r="D8" s="20" t="n">
        <x:v>0.5700000000000001</x:v>
      </x:c>
      <x:c r="E8" s="20" t="n">
        <x:f>B8*C8</x:f>
        <x:v>25350</x:v>
      </x:c>
      <x:c r="F8" s="20" t="n">
        <x:f>E8*0.10</x:f>
        <x:v>2535</x:v>
      </x:c>
      <x:c r="G8" s="20" t="n">
        <x:f>E8*0.15</x:f>
        <x:v>3802.5</x:v>
      </x:c>
      <x:c r="H8" s="20" t="n">
        <x:f>B8*D8*75</x:f>
        <x:v>1667.2500000000002</x:v>
      </x:c>
    </x:row>
    <x:row r="9">
      <x:c r="A9" t="n">
        <x:v>8</x:v>
      </x:c>
      <x:c r="B9" t="n">
        <x:v>44</x:v>
      </x:c>
      <x:c r="C9" s="20" t="n">
        <x:v>650</x:v>
      </x:c>
      <x:c r="D9" s="20" t="n">
        <x:v>0.5900000000000001</x:v>
      </x:c>
      <x:c r="E9" s="20" t="n">
        <x:f>B9*C9</x:f>
        <x:v>28600</x:v>
      </x:c>
      <x:c r="F9" s="20" t="n">
        <x:f>E9*0.10</x:f>
        <x:v>2860</x:v>
      </x:c>
      <x:c r="G9" s="20" t="n">
        <x:f>E9*0.15</x:f>
        <x:v>4290</x:v>
      </x:c>
      <x:c r="H9" s="20" t="n">
        <x:f>B9*D9*75</x:f>
        <x:v>1947.0000000000002</x:v>
      </x:c>
    </x:row>
    <x:row r="10">
      <x:c r="A10" t="n">
        <x:v>9</x:v>
      </x:c>
      <x:c r="B10" t="n">
        <x:v>50</x:v>
      </x:c>
      <x:c r="C10" s="20" t="n">
        <x:v>650</x:v>
      </x:c>
      <x:c r="D10" s="20" t="n">
        <x:v>0.61</x:v>
      </x:c>
      <x:c r="E10" s="20" t="n">
        <x:f>B10*C10</x:f>
        <x:v>32500</x:v>
      </x:c>
      <x:c r="F10" s="20" t="n">
        <x:f>E10*0.10</x:f>
        <x:v>3250</x:v>
      </x:c>
      <x:c r="G10" s="20" t="n">
        <x:f>E10*0.15</x:f>
        <x:v>4875</x:v>
      </x:c>
      <x:c r="H10" s="20" t="n">
        <x:f>B10*D10*75</x:f>
        <x:v>2287.5</x:v>
      </x:c>
    </x:row>
    <x:row r="11">
      <x:c r="A11" t="n">
        <x:v>10</x:v>
      </x:c>
      <x:c r="B11" t="n">
        <x:v>55</x:v>
      </x:c>
      <x:c r="C11" s="20" t="n">
        <x:v>650</x:v>
      </x:c>
      <x:c r="D11" s="20" t="n">
        <x:v>0.63</x:v>
      </x:c>
      <x:c r="E11" s="20" t="n">
        <x:f>B11*C11</x:f>
        <x:v>35750</x:v>
      </x:c>
      <x:c r="F11" s="20" t="n">
        <x:f>E11*0.10</x:f>
        <x:v>3575</x:v>
      </x:c>
      <x:c r="G11" s="20" t="n">
        <x:f>E11*0.15</x:f>
        <x:v>5362.5</x:v>
      </x:c>
      <x:c r="H11" s="20" t="n">
        <x:f>B11*D11*75</x:f>
        <x:v>2598.75</x:v>
      </x:c>
    </x:row>
    <x:row r="12">
      <x:c r="A12" t="n">
        <x:v>11</x:v>
      </x:c>
      <x:c r="B12" t="n">
        <x:v>62</x:v>
      </x:c>
      <x:c r="C12" s="20" t="n">
        <x:v>650</x:v>
      </x:c>
      <x:c r="D12" s="20" t="n">
        <x:v>0.65</x:v>
      </x:c>
      <x:c r="E12" s="20" t="n">
        <x:f>B12*C12</x:f>
        <x:v>40300</x:v>
      </x:c>
      <x:c r="F12" s="20" t="n">
        <x:f>E12*0.10</x:f>
        <x:v>4030</x:v>
      </x:c>
      <x:c r="G12" s="20" t="n">
        <x:f>E12*0.15</x:f>
        <x:v>6045</x:v>
      </x:c>
      <x:c r="H12" s="20" t="n">
        <x:f>B12*D12*75</x:f>
        <x:v>3022.5000000000005</x:v>
      </x:c>
    </x:row>
    <x:row r="13">
      <x:c r="A13" t="n">
        <x:v>12</x:v>
      </x:c>
      <x:c r="B13" t="n">
        <x:v>70</x:v>
      </x:c>
      <x:c r="C13" s="20" t="n">
        <x:v>650</x:v>
      </x:c>
      <x:c r="D13" s="20" t="n">
        <x:v>0.67</x:v>
      </x:c>
      <x:c r="E13" s="20" t="n">
        <x:f>B13*C13</x:f>
        <x:v>45500</x:v>
      </x:c>
      <x:c r="F13" s="20" t="n">
        <x:f>E13*0.10</x:f>
        <x:v>4550</x:v>
      </x:c>
      <x:c r="G13" s="20" t="n">
        <x:f>E13*0.15</x:f>
        <x:v>6825</x:v>
      </x:c>
      <x:c r="H13" s="20" t="n">
        <x:f>B13*D13*75</x:f>
        <x:v>3517.5000000000005</x:v>
      </x:c>
    </x:row>
  </x:sheetData>
  <x:pageMargins left="0.7" right="0.7" top="0.75" bottom="0.75" header="0.3" footer="0.3"/>
  <x:drawing xmlns:r="http://schemas.openxmlformats.org/officeDocument/2006/relationships" r:id="R35a60f2c3cb6496f"/>
  <x:tableParts count="1">
    <x:tablePart xmlns:r="http://schemas.openxmlformats.org/officeDocument/2006/relationships" r:id="R6c079c5428c34acc"/>
  </x:tableParts>
</x:worksheet>
</file>